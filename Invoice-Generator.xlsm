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96CC2765-C984-2E47-B378-F9E29B10099C}" xr6:coauthVersionLast="47" xr6:coauthVersionMax="47" xr10:uidLastSave="{00000000-0000-0000-0000-000000000000}"/>
  <bookViews>
    <workbookView xWindow="5020" yWindow="1820" windowWidth="28300" windowHeight="17360" activeTab="1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functionGroups builtInGroupCount="19"/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2" i="2" l="1"/>
  <c r="D17" i="2"/>
  <c r="D18" i="2"/>
  <c r="D19" i="2"/>
  <c r="D20" i="2"/>
  <c r="D11" i="2"/>
  <c r="G2" i="2"/>
  <c r="F2" i="2"/>
  <c r="E2" i="2"/>
  <c r="D2" i="2"/>
  <c r="B2" i="2"/>
  <c r="F4" i="3" s="1"/>
  <c r="D16" i="3"/>
  <c r="C16" i="3"/>
  <c r="B16" i="3"/>
  <c r="C13" i="3"/>
  <c r="C12" i="3"/>
  <c r="F5" i="3"/>
  <c r="B4" i="2"/>
  <c r="F6" i="3" s="1"/>
  <c r="E16" i="3"/>
  <c r="F7" i="3"/>
  <c r="D23" i="2" l="1"/>
  <c r="D24" i="2" s="1"/>
  <c r="F27" i="3"/>
  <c r="F16" i="3"/>
  <c r="F29" i="3" l="1"/>
  <c r="F28" i="3"/>
</calcChain>
</file>

<file path=xl/sharedStrings.xml><?xml version="1.0" encoding="utf-8"?>
<sst xmlns="http://schemas.openxmlformats.org/spreadsheetml/2006/main" count="99" uniqueCount="71">
  <si>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</si>
  <si>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</si>
  <si>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</si>
  <si>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</si>
  <si>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</si>
  <si>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</si>
  <si>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</si>
  <si>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</si>
  <si>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</si>
  <si>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</si>
  <si>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</si>
  <si>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</si>
  <si>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</si>
  <si>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</si>
  <si>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</si>
  <si>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</si>
  <si>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</si>
  <si>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</si>
  <si>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</si>
  <si>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</si>
  <si>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</si>
  <si>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</si>
  <si>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</si>
  <si>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</si>
  <si>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</si>
  <si>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</si>
  <si>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</si>
  <si>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</si>
  <si>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</si>
  <si>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</si>
  <si>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</si>
  <si>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</si>
  <si>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</si>
  <si>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</si>
  <si>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</si>
  <si>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</si>
  <si>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</si>
  <si>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</si>
  <si>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</si>
  <si>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</si>
  <si>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</si>
  <si>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</si>
  <si>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</si>
  <si>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</si>
  <si>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</si>
  <si>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</si>
  <si>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</si>
  <si>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</si>
  <si>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</si>
  <si>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</si>
  <si>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</si>
  <si>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</si>
  <si>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</si>
  <si>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</si>
  <si>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</si>
  <si>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</si>
  <si>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</si>
  <si>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</si>
  <si>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</si>
  <si>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</si>
  <si>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</si>
  <si>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</si>
  <si>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</si>
  <si>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</si>
  <si>
    <t>Website Maintenance</t>
  </si>
  <si>
    <t>CUST-004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</si>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</sst>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0" fillId="0" borderId="2" xfId="0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3">
    <dxf>
      <numFmt numFmtId="13" formatCode="0%"/>
    </dxf>
    <dxf>
      <border outline="0">
        <left style="thin">
          <color theme="4" tint="0.39997558519241921"/>
        </left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2" tableBorderDxfId="1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0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8" totalsRowShown="0">
  <autoFilter ref="A1:B8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0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1" t="s">
        <v>9</v>
      </c>
      <c r="B2" t="s">
        <v>69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2" t="s">
        <v>68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1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9" t="s">
        <v>66</v>
      </c>
      <c r="B5" t="s">
        <v>67</v>
      </c>
      <c r="C5" t="s">
        <v>17</v>
      </c>
      <c r="D5" t="s">
        <v>18</v>
      </c>
      <c r="E5" t="s">
        <v>19</v>
      </c>
      <c r="F5" t="s">
        <v>20</v>
      </c>
      <c r="G5" t="s">
        <v>70</v>
      </c>
      <c r="H5" s="2">
        <v>0.1</v>
      </c>
      <c r="I5" t="s">
        <v>49</v>
      </c>
    </row>
    <row r="10" spans="1:9">
      <c r="F10" s="13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tabSelected="1" workbookViewId="0">
      <selection activeCell="I14" sqref="I14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4" t="s">
        <v>57</v>
      </c>
      <c r="G1" s="1" t="s">
        <v>56</v>
      </c>
    </row>
    <row r="2" spans="1:7">
      <c r="A2" t="s">
        <v>65</v>
      </c>
      <c r="B2" t="str">
        <f>IFERROR(_xlfn.XLOOKUP(A2,tblCustomers[Customer ID],tblCustomers[Customer Name]),"")</f>
        <v>Test Company</v>
      </c>
      <c r="C2" s="4">
        <v>46235</v>
      </c>
      <c r="D2" s="4">
        <f>IF(OR(A2="",C2=""),"",C2+VALUE(SUBSTITUTE(_xlfn.XLOOKUP(A2,tblCustomers[Customer ID],tblCustomers[Payment Terms]),"Net ","")))</f>
        <v>46265</v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  <c r="G2" t="str">
        <f>IF(C2="","",_xlfn.XLOOKUP("Invoice Prefix",tblSettings[Setting],tblSettings[Value])&amp;"-"&amp;TEXT(C2,"yyyymmdd")&amp;"-001")</f>
        <v>INV-20260801-001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A11" t="s">
        <v>64</v>
      </c>
      <c r="B11">
        <v>2</v>
      </c>
      <c r="C11">
        <v>500</v>
      </c>
      <c r="D11">
        <f>IF(OR(B11="",C11=""),"",B11*C11)</f>
        <v>1000</v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>
        <f>IF(COUNTA(tblInvoiceItems[Description])=0,"",SUM(tblInvoiceItems[Amount]))</f>
        <v>1000</v>
      </c>
    </row>
    <row r="23" spans="3:4">
      <c r="C23" t="s">
        <v>36</v>
      </c>
      <c r="D23">
        <f>IF(OR(D22="",F2=""),"",D22*F2)</f>
        <v>100</v>
      </c>
    </row>
    <row r="24" spans="3:4">
      <c r="C24" t="s">
        <v>37</v>
      </c>
      <c r="D24">
        <f>IF(OR(D22="",D23=""),"",D22+D23)</f>
        <v>1100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workbookViewId="0"/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15" t="s">
        <v>53</v>
      </c>
      <c r="C2" s="15"/>
      <c r="D2" s="15"/>
      <c r="E2" s="15"/>
      <c r="F2" s="15"/>
    </row>
    <row r="4" spans="2:6">
      <c r="B4" s="5" t="s">
        <v>54</v>
      </c>
      <c r="E4" s="5" t="s">
        <v>56</v>
      </c>
      <c r="F4" t="str">
        <f>'Invoice Input'!B2</f>
        <v>Test Company</v>
      </c>
    </row>
    <row r="5" spans="2:6">
      <c r="B5" t="s">
        <v>39</v>
      </c>
      <c r="E5" t="s">
        <v>50</v>
      </c>
      <c r="F5" s="4">
        <f>'Invoice Input'!B3</f>
        <v>0</v>
      </c>
    </row>
    <row r="6" spans="2:6">
      <c r="B6" t="s">
        <v>55</v>
      </c>
      <c r="E6" t="s">
        <v>51</v>
      </c>
      <c r="F6" s="4" t="str">
        <f>'Invoice Input'!B4</f>
        <v/>
      </c>
    </row>
    <row r="7" spans="2:6">
      <c r="B7" t="s">
        <v>41</v>
      </c>
      <c r="E7" s="5" t="s">
        <v>7</v>
      </c>
      <c r="F7">
        <f>'Invoice Input'!B7</f>
        <v>0</v>
      </c>
    </row>
    <row r="9" spans="2:6">
      <c r="B9" s="5" t="s">
        <v>52</v>
      </c>
    </row>
    <row r="10" spans="2:6">
      <c r="B10" t="s">
        <v>1</v>
      </c>
      <c r="C10" s="7" t="s">
        <v>62</v>
      </c>
    </row>
    <row r="11" spans="2:6">
      <c r="B11" t="s">
        <v>3</v>
      </c>
      <c r="C11" t="s">
        <v>63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>
        <f>'Invoice Input'!B8</f>
        <v>0</v>
      </c>
      <c r="F16">
        <f>'Invoice Input'!D11</f>
        <v>1000</v>
      </c>
    </row>
    <row r="27" spans="2:6">
      <c r="E27" t="s">
        <v>35</v>
      </c>
      <c r="F27">
        <f>'Invoice Input'!D22</f>
        <v>1000</v>
      </c>
    </row>
    <row r="28" spans="2:6">
      <c r="E28" t="s">
        <v>58</v>
      </c>
      <c r="F28">
        <f>'Invoice Input'!D23</f>
        <v>100</v>
      </c>
    </row>
    <row r="29" spans="2:6" ht="24">
      <c r="E29" s="5" t="s">
        <v>59</v>
      </c>
      <c r="F29" s="8">
        <f>'Invoice Input'!D24</f>
        <v>1100</v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8"/>
  <sheetViews>
    <sheetView workbookViewId="0">
      <selection activeCell="B21" sqref="B21"/>
    </sheetView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2026-07-21T01:14:47Z</dcterms:modified>
  <cp:category/>
</cp:coreProperties>
</file>