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eikoatsuumi/Desktop/20260713_GitHub/"/>
    </mc:Choice>
  </mc:AlternateContent>
  <xr:revisionPtr revIDLastSave="0" documentId="13_ncr:1_{4EC4C14C-B021-5C45-8A95-169114B2EE41}" xr6:coauthVersionLast="47" xr6:coauthVersionMax="47" xr10:uidLastSave="{00000000-0000-0000-0000-000000000000}"/>
  <bookViews>
    <workbookView xWindow="5020" yWindow="1820" windowWidth="28300" windowHeight="17360" activeTab="2" xr2:uid="{57FEA159-9BF7-5346-BDFF-3BFD644673EF}"/>
  </bookViews>
  <sheets>
    <sheet name="Customer Master" sheetId="1" r:id="rId1"/>
    <sheet name="Invoice Input" sheetId="2" r:id="rId2"/>
    <sheet name="Invoice Output" sheetId="3" r:id="rId3"/>
    <sheet name="Settings" sheetId="4" r:id="rId4"/>
  </sheets>
  <definedNames>
    <definedName name="_xlnm.Print_Area" localSheetId="2">'Invoice Output'!$B$2:$F$33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29" i="3" l="1"/>
  <c r="F28" i="3"/>
  <c r="F27" i="3"/>
  <c r="F16" i="3"/>
  <c r="E16" i="3"/>
  <c r="D16" i="3"/>
  <c r="C16" i="3"/>
  <c r="B16" i="3"/>
  <c r="C13" i="3"/>
  <c r="C12" i="3"/>
  <c r="F7" i="3"/>
  <c r="F6" i="3"/>
  <c r="F5" i="3"/>
  <c r="F4" i="3"/>
  <c r="B2" i="2"/>
  <c r="B4" i="2"/>
  <c r="B8" i="2"/>
  <c r="B7" i="2"/>
  <c r="B6" i="2"/>
  <c r="D12" i="2"/>
  <c r="D13" i="2"/>
  <c r="D14" i="2"/>
  <c r="D15" i="2"/>
  <c r="D11" i="2"/>
  <c r="D17" i="2" s="1"/>
  <c r="D18" i="2" l="1"/>
  <c r="D19" i="2" s="1"/>
</calcChain>
</file>

<file path=xl/sharedStrings.xml><?xml version="1.0" encoding="utf-8"?>
<sst xmlns="http://schemas.openxmlformats.org/spreadsheetml/2006/main" count="89" uniqueCount="67">
  <si>
    <t>Customer ID</t>
    <phoneticPr fontId="1"/>
  </si>
  <si>
    <t>Customer Name</t>
  </si>
  <si>
    <t>Customer Name</t>
    <phoneticPr fontId="1"/>
  </si>
  <si>
    <t>Contact Name</t>
    <phoneticPr fontId="1"/>
  </si>
  <si>
    <t>Email</t>
    <phoneticPr fontId="1"/>
  </si>
  <si>
    <t>Address</t>
    <phoneticPr fontId="1"/>
  </si>
  <si>
    <t>Country</t>
    <phoneticPr fontId="1"/>
  </si>
  <si>
    <t>Currency</t>
    <phoneticPr fontId="1"/>
  </si>
  <si>
    <t>Tax Rate</t>
  </si>
  <si>
    <t>Payment Terms</t>
    <phoneticPr fontId="1"/>
  </si>
  <si>
    <t>CUST-001</t>
  </si>
  <si>
    <t>Sakura Design Studio</t>
  </si>
  <si>
    <t>Aiko Tanaka</t>
  </si>
  <si>
    <t>aiko@example.com</t>
  </si>
  <si>
    <t>Tokyo, Japan</t>
  </si>
  <si>
    <t>Japan</t>
  </si>
  <si>
    <t>JPY</t>
  </si>
  <si>
    <t>Net 30</t>
  </si>
  <si>
    <t>CUST-002</t>
  </si>
  <si>
    <t>Lyon Digital Works</t>
  </si>
  <si>
    <t>Pierre Martin</t>
  </si>
  <si>
    <t>pierre@example.com</t>
  </si>
  <si>
    <t>Lyon, France</t>
  </si>
  <si>
    <t>France</t>
  </si>
  <si>
    <t>EUR</t>
  </si>
  <si>
    <t>CUST-003</t>
  </si>
  <si>
    <t>Northwind Consulting</t>
  </si>
  <si>
    <t>Emma Smith</t>
  </si>
  <si>
    <t>emma@example.com</t>
  </si>
  <si>
    <t>London, UK</t>
  </si>
  <si>
    <t>United Kingdom</t>
  </si>
  <si>
    <t>GBP</t>
  </si>
  <si>
    <t>Net 14</t>
  </si>
  <si>
    <t>Due Date</t>
  </si>
  <si>
    <t>Description</t>
  </si>
  <si>
    <t>Quantity</t>
  </si>
  <si>
    <t>Unit Price</t>
    <phoneticPr fontId="1"/>
  </si>
  <si>
    <t>Amount</t>
    <phoneticPr fontId="1"/>
  </si>
  <si>
    <t>Subtotal</t>
  </si>
  <si>
    <t>Tax</t>
    <phoneticPr fontId="1"/>
  </si>
  <si>
    <t>Total</t>
    <phoneticPr fontId="1"/>
  </si>
  <si>
    <t>Setting</t>
  </si>
  <si>
    <t>Company Name</t>
    <phoneticPr fontId="1"/>
  </si>
  <si>
    <t>Company Address</t>
  </si>
  <si>
    <t>Company Email</t>
  </si>
  <si>
    <t>Invoice Prefix</t>
  </si>
  <si>
    <t>Default Currency</t>
    <phoneticPr fontId="1"/>
  </si>
  <si>
    <t>Default Tax Rate</t>
  </si>
  <si>
    <t>Value</t>
  </si>
  <si>
    <t>Your Company Name</t>
  </si>
  <si>
    <t>billing@example.com</t>
    <phoneticPr fontId="1"/>
  </si>
  <si>
    <t>INV</t>
  </si>
  <si>
    <t>Net 30</t>
    <phoneticPr fontId="1"/>
  </si>
  <si>
    <t>Invoice Date</t>
    <phoneticPr fontId="1"/>
  </si>
  <si>
    <t>Due Date</t>
    <phoneticPr fontId="1"/>
  </si>
  <si>
    <t>Bill To</t>
  </si>
  <si>
    <t>INVOICE</t>
    <phoneticPr fontId="1"/>
  </si>
  <si>
    <t>From</t>
    <phoneticPr fontId="1"/>
  </si>
  <si>
    <t>Company Address</t>
    <phoneticPr fontId="1"/>
  </si>
  <si>
    <t>Invoice Number</t>
    <phoneticPr fontId="1"/>
  </si>
  <si>
    <t>Tax Rate</t>
    <phoneticPr fontId="1"/>
  </si>
  <si>
    <t>Tax</t>
  </si>
  <si>
    <t>Total</t>
  </si>
  <si>
    <t>Notes</t>
    <phoneticPr fontId="1"/>
  </si>
  <si>
    <t>Thank you for your business.</t>
  </si>
  <si>
    <t>Coming Soon'=Invoice Input'!B6</t>
    <phoneticPr fontId="1"/>
  </si>
  <si>
    <t>Coming Soon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</si>
</sst>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2"/>
      <color theme="10"/>
      <name val="游ゴシック"/>
      <family val="2"/>
      <charset val="128"/>
      <scheme val="minor"/>
    </font>
    <font>
      <b/>
      <sz val="2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u/>
      <sz val="12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24"/>
      <color theme="1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0" fontId="2" fillId="0" borderId="0" xfId="1">
      <alignment vertical="center"/>
    </xf>
    <xf numFmtId="14" fontId="0" fillId="0" borderId="0" xfId="0" applyNumberForma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quotePrefix="1">
      <alignment vertical="center"/>
    </xf>
    <xf numFmtId="0" fontId="6" fillId="0" borderId="1" xfId="0" applyFont="1" applyBorder="1">
      <alignment vertical="center"/>
    </xf>
    <xf numFmtId="0" fontId="3" fillId="0" borderId="0" xfId="0" applyFont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444500</xdr:colOff>
          <xdr:row>0</xdr:row>
          <xdr:rowOff>88900</xdr:rowOff>
        </xdr:from>
        <xdr:to>
          <xdr:col>10</xdr:col>
          <xdr:colOff>571500</xdr:colOff>
          <xdr:row>2</xdr:row>
          <xdr:rowOff>241300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72FC7C2-C1A5-DE43-639A-80B69A8F0C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Generate Invoice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billing@exampl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A094B-131B-E548-A0CB-F26665BEACC4}">
  <sheetPr codeName="Sheet1"/>
  <dimension ref="A1:I4"/>
  <sheetViews>
    <sheetView workbookViewId="0"/>
  </sheetViews>
  <sheetFormatPr baseColWidth="10" defaultRowHeight="20"/>
  <cols>
    <col min="1" max="1" width="12.140625" bestFit="1" customWidth="1"/>
    <col min="2" max="2" width="19.5703125" bestFit="1" customWidth="1"/>
    <col min="3" max="3" width="13" bestFit="1" customWidth="1"/>
    <col min="4" max="4" width="17.28515625" bestFit="1" customWidth="1"/>
    <col min="5" max="5" width="12.140625" bestFit="1" customWidth="1"/>
    <col min="6" max="6" width="14.5703125" bestFit="1" customWidth="1"/>
    <col min="9" max="9" width="14.28515625" bestFit="1" customWidth="1"/>
  </cols>
  <sheetData>
    <row r="1" spans="1:9" s="1" customFormat="1">
      <c r="A1" s="1" t="s">
        <v>0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</row>
    <row r="2" spans="1:9">
      <c r="A2" t="s">
        <v>10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 s="2">
        <v>0.1</v>
      </c>
      <c r="I2" t="s">
        <v>17</v>
      </c>
    </row>
    <row r="3" spans="1:9">
      <c r="A3" t="s">
        <v>18</v>
      </c>
      <c r="B3" t="s">
        <v>19</v>
      </c>
      <c r="C3" t="s">
        <v>20</v>
      </c>
      <c r="D3" t="s">
        <v>21</v>
      </c>
      <c r="E3" t="s">
        <v>22</v>
      </c>
      <c r="F3" t="s">
        <v>23</v>
      </c>
      <c r="G3" t="s">
        <v>24</v>
      </c>
      <c r="H3" s="2">
        <v>0.2</v>
      </c>
      <c r="I3" t="s">
        <v>17</v>
      </c>
    </row>
    <row r="4" spans="1:9">
      <c r="A4" t="s">
        <v>25</v>
      </c>
      <c r="B4" t="s">
        <v>26</v>
      </c>
      <c r="C4" t="s">
        <v>27</v>
      </c>
      <c r="D4" t="s">
        <v>28</v>
      </c>
      <c r="E4" t="s">
        <v>29</v>
      </c>
      <c r="F4" t="s">
        <v>30</v>
      </c>
      <c r="G4" t="s">
        <v>31</v>
      </c>
      <c r="H4" s="2">
        <v>0.2</v>
      </c>
      <c r="I4" t="s">
        <v>32</v>
      </c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6B57D-A8A2-2F44-954A-9C7400A45EC0}">
  <sheetPr codeName="Sheet2"/>
  <dimension ref="A1:H19"/>
  <sheetViews>
    <sheetView workbookViewId="0">
      <selection activeCell="H13" sqref="H13"/>
    </sheetView>
  </sheetViews>
  <sheetFormatPr baseColWidth="10" defaultRowHeight="20"/>
  <cols>
    <col min="1" max="1" width="14.28515625" bestFit="1" customWidth="1"/>
    <col min="2" max="2" width="17.5703125" bestFit="1" customWidth="1"/>
    <col min="3" max="3" width="11.7109375" bestFit="1" customWidth="1"/>
    <col min="4" max="4" width="11.5703125" bestFit="1" customWidth="1"/>
    <col min="5" max="5" width="14.5703125" bestFit="1" customWidth="1"/>
    <col min="7" max="7" width="14.28515625" bestFit="1" customWidth="1"/>
  </cols>
  <sheetData>
    <row r="1" spans="1:8" s="1" customFormat="1">
      <c r="A1" s="1" t="s">
        <v>0</v>
      </c>
      <c r="B1" s="1" t="s">
        <v>2</v>
      </c>
      <c r="C1" s="1" t="s">
        <v>53</v>
      </c>
      <c r="D1" s="1" t="s">
        <v>33</v>
      </c>
      <c r="E1" s="1" t="s">
        <v>7</v>
      </c>
      <c r="F1" s="1" t="s">
        <v>60</v>
      </c>
      <c r="G1" s="1" t="s">
        <v>59</v>
      </c>
      <c r="H1" s="1" t="s">
        <v>8</v>
      </c>
    </row>
    <row r="2" spans="1:8">
      <c r="B2" t="str">
        <f>IF(B3="","",Settings!B5&amp;"-"&amp;TEXT(B3,"yyyymmdd")&amp;"-001")</f>
        <v>INV-20260801-001</v>
      </c>
    </row>
    <row r="3" spans="1:8">
      <c r="B3" s="4">
        <v>46235</v>
      </c>
    </row>
    <row r="4" spans="1:8">
      <c r="B4" s="4" t="str">
        <f>IF(OR(B3="",B5=""),"",B3+VALUE(SUBSTITUTE(_xlfn.XLOOKUP(B5,'Customer Master'!$A$2:$A$100,'Customer Master'!$I$2:$I$100),"Net ","")))</f>
        <v/>
      </c>
    </row>
    <row r="6" spans="1:8">
      <c r="B6">
        <f>IFERROR(_xlfn.XLOOKUP(B5,'Customer Master'!$A$2:$A$100,'Customer Master'!$B$2:$B$100),"")</f>
        <v>0</v>
      </c>
    </row>
    <row r="7" spans="1:8">
      <c r="B7">
        <f>IFERROR(_xlfn.XLOOKUP(B5,'Customer Master'!$A$2:$A$100,'Customer Master'!$G$2:$G$100),"")</f>
        <v>0</v>
      </c>
    </row>
    <row r="8" spans="1:8">
      <c r="B8">
        <f>IFERROR(_xlfn.XLOOKUP(B5,'Customer Master'!$A$2:$A$100,'Customer Master'!$H$2:$H$100),"")</f>
        <v>0</v>
      </c>
    </row>
    <row r="10" spans="1:8">
      <c r="A10" t="s">
        <v>34</v>
      </c>
      <c r="B10" t="s">
        <v>35</v>
      </c>
      <c r="C10" t="s">
        <v>36</v>
      </c>
      <c r="D10" t="s">
        <v>37</v>
      </c>
    </row>
    <row r="11" spans="1:8">
      <c r="D11">
        <f>B11*C11</f>
        <v>0</v>
      </c>
    </row>
    <row r="12" spans="1:8">
      <c r="D12">
        <f t="shared" ref="D12:D15" si="0">B12*C12</f>
        <v>0</v>
      </c>
    </row>
    <row r="13" spans="1:8">
      <c r="D13">
        <f t="shared" si="0"/>
        <v>0</v>
      </c>
    </row>
    <row r="14" spans="1:8">
      <c r="D14">
        <f t="shared" si="0"/>
        <v>0</v>
      </c>
    </row>
    <row r="15" spans="1:8">
      <c r="D15">
        <f t="shared" si="0"/>
        <v>0</v>
      </c>
    </row>
    <row r="17" spans="3:4">
      <c r="C17" t="s">
        <v>38</v>
      </c>
      <c r="D17">
        <f>SUM(D11:D15)</f>
        <v>0</v>
      </c>
    </row>
    <row r="18" spans="3:4">
      <c r="C18" t="s">
        <v>39</v>
      </c>
      <c r="D18">
        <f>D17*B8</f>
        <v>0</v>
      </c>
    </row>
    <row r="19" spans="3:4">
      <c r="C19" t="s">
        <v>40</v>
      </c>
      <c r="D19">
        <f>D17+D18</f>
        <v>0</v>
      </c>
    </row>
  </sheetData>
  <phoneticPr fontId="1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teInvoice">
                <anchor moveWithCells="1" sizeWithCells="1">
                  <from>
                    <xdr:col>8</xdr:col>
                    <xdr:colOff>444500</xdr:colOff>
                    <xdr:row>0</xdr:row>
                    <xdr:rowOff>88900</xdr:rowOff>
                  </from>
                  <to>
                    <xdr:col>10</xdr:col>
                    <xdr:colOff>571500</xdr:colOff>
                    <xdr:row>2</xdr:row>
                    <xdr:rowOff>241300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EF530C-D9A7-5C40-8CEA-A3F35E758BDA}">
          <x14:formula1>
            <xm:f>'Customer Master'!$A$2:$A$100</xm:f>
          </x14:formula1>
          <xm:sqref>B5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9C275-C0FF-8447-B1D0-C4A2F5F148D2}">
  <sheetPr codeName="Sheet3">
    <pageSetUpPr fitToPage="1"/>
  </sheetPr>
  <dimension ref="B2:F33"/>
  <sheetViews>
    <sheetView tabSelected="1" workbookViewId="0"/>
  </sheetViews>
  <sheetFormatPr baseColWidth="10" defaultRowHeight="20"/>
  <cols>
    <col min="1" max="1" width="3.7109375" customWidth="1"/>
    <col min="2" max="3" width="18.7109375" customWidth="1"/>
    <col min="4" max="5" width="12.7109375" customWidth="1"/>
    <col min="6" max="6" width="14.7109375" customWidth="1"/>
    <col min="7" max="7" width="3.7109375" customWidth="1"/>
  </cols>
  <sheetData>
    <row r="2" spans="2:6" ht="40">
      <c r="B2" s="9" t="s">
        <v>56</v>
      </c>
      <c r="C2" s="9"/>
      <c r="D2" s="9"/>
      <c r="E2" s="9"/>
      <c r="F2" s="9"/>
    </row>
    <row r="4" spans="2:6">
      <c r="B4" s="5" t="s">
        <v>57</v>
      </c>
      <c r="E4" s="5" t="s">
        <v>59</v>
      </c>
      <c r="F4" t="str">
        <f>'Invoice Input'!B2</f>
        <v>INV-20260801-001</v>
      </c>
    </row>
    <row r="5" spans="2:6">
      <c r="B5" t="s">
        <v>42</v>
      </c>
      <c r="E5" t="s">
        <v>53</v>
      </c>
      <c r="F5" s="4">
        <f>'Invoice Input'!B3</f>
        <v>46235</v>
      </c>
    </row>
    <row r="6" spans="2:6">
      <c r="B6" t="s">
        <v>58</v>
      </c>
      <c r="E6" t="s">
        <v>54</v>
      </c>
      <c r="F6" s="4" t="str">
        <f>'Invoice Input'!B4</f>
        <v/>
      </c>
    </row>
    <row r="7" spans="2:6">
      <c r="B7" t="s">
        <v>44</v>
      </c>
      <c r="E7" s="5" t="s">
        <v>7</v>
      </c>
      <c r="F7">
        <f>'Invoice Input'!B7</f>
        <v>0</v>
      </c>
    </row>
    <row r="9" spans="2:6">
      <c r="B9" s="5" t="s">
        <v>55</v>
      </c>
    </row>
    <row r="10" spans="2:6">
      <c r="B10" t="s">
        <v>1</v>
      </c>
      <c r="C10" s="7" t="s">
        <v>65</v>
      </c>
    </row>
    <row r="11" spans="2:6">
      <c r="B11" t="s">
        <v>3</v>
      </c>
      <c r="C11" t="s">
        <v>66</v>
      </c>
    </row>
    <row r="12" spans="2:6">
      <c r="B12" t="s">
        <v>5</v>
      </c>
      <c r="C12">
        <f>IFERROR(_xlfn.XLOOKUP('Invoice Input'!B5,'Customer Master'!A:A,'Customer Master'!E:E),"")</f>
        <v>0</v>
      </c>
    </row>
    <row r="13" spans="2:6">
      <c r="B13" t="s">
        <v>4</v>
      </c>
      <c r="C13">
        <f>IFERROR(_xlfn.XLOOKUP('Invoice Input'!B5,'Customer Master'!A:A,'Customer Master'!D:D),"")</f>
        <v>0</v>
      </c>
    </row>
    <row r="15" spans="2:6">
      <c r="B15" s="6" t="s">
        <v>34</v>
      </c>
      <c r="C15" t="s">
        <v>35</v>
      </c>
      <c r="D15" t="s">
        <v>36</v>
      </c>
      <c r="E15" s="6" t="s">
        <v>60</v>
      </c>
      <c r="F15" t="s">
        <v>37</v>
      </c>
    </row>
    <row r="16" spans="2:6">
      <c r="B16">
        <f>'Invoice Input'!A11</f>
        <v>0</v>
      </c>
      <c r="C16">
        <f>'Invoice Input'!B11</f>
        <v>0</v>
      </c>
      <c r="D16">
        <f>'Invoice Input'!C11</f>
        <v>0</v>
      </c>
      <c r="E16">
        <f>'Invoice Input'!B8</f>
        <v>0</v>
      </c>
      <c r="F16">
        <f>'Invoice Input'!D11</f>
        <v>0</v>
      </c>
    </row>
    <row r="27" spans="2:6">
      <c r="E27" t="s">
        <v>38</v>
      </c>
      <c r="F27">
        <f>'Invoice Input'!D17</f>
        <v>0</v>
      </c>
    </row>
    <row r="28" spans="2:6">
      <c r="E28" t="s">
        <v>61</v>
      </c>
      <c r="F28">
        <f>'Invoice Input'!D18</f>
        <v>0</v>
      </c>
    </row>
    <row r="29" spans="2:6" ht="24">
      <c r="E29" s="5" t="s">
        <v>62</v>
      </c>
      <c r="F29" s="8">
        <f>'Invoice Input'!D19</f>
        <v>0</v>
      </c>
    </row>
    <row r="32" spans="2:6">
      <c r="B32" s="5" t="s">
        <v>63</v>
      </c>
    </row>
    <row r="33" spans="2:2">
      <c r="B33" t="s">
        <v>64</v>
      </c>
    </row>
  </sheetData>
  <mergeCells count="1">
    <mergeCell ref="B2:F2"/>
  </mergeCells>
  <phoneticPr fontId="1"/>
  <printOptions horizontalCentered="1" verticalCentered="1"/>
  <pageMargins left="0.25" right="0.25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76F4-3896-4540-81E3-0A8A138245BF}">
  <sheetPr codeName="Sheet4"/>
  <dimension ref="A1:B8"/>
  <sheetViews>
    <sheetView workbookViewId="0"/>
  </sheetViews>
  <sheetFormatPr baseColWidth="10" defaultRowHeight="20"/>
  <cols>
    <col min="1" max="1" width="16.42578125" bestFit="1" customWidth="1"/>
    <col min="2" max="2" width="19" bestFit="1" customWidth="1"/>
    <col min="3" max="3" width="13" bestFit="1" customWidth="1"/>
    <col min="9" max="9" width="14.28515625" bestFit="1" customWidth="1"/>
  </cols>
  <sheetData>
    <row r="1" spans="1:2">
      <c r="A1" t="s">
        <v>41</v>
      </c>
      <c r="B1" t="s">
        <v>48</v>
      </c>
    </row>
    <row r="2" spans="1:2">
      <c r="A2" t="s">
        <v>42</v>
      </c>
      <c r="B2" t="s">
        <v>49</v>
      </c>
    </row>
    <row r="3" spans="1:2">
      <c r="A3" t="s">
        <v>43</v>
      </c>
      <c r="B3" t="s">
        <v>14</v>
      </c>
    </row>
    <row r="4" spans="1:2">
      <c r="A4" t="s">
        <v>44</v>
      </c>
      <c r="B4" s="3" t="s">
        <v>50</v>
      </c>
    </row>
    <row r="5" spans="1:2">
      <c r="A5" t="s">
        <v>45</v>
      </c>
      <c r="B5" t="s">
        <v>51</v>
      </c>
    </row>
    <row r="6" spans="1:2">
      <c r="A6" t="s">
        <v>46</v>
      </c>
      <c r="B6" t="s">
        <v>16</v>
      </c>
    </row>
    <row r="7" spans="1:2">
      <c r="A7" t="s">
        <v>47</v>
      </c>
      <c r="B7" s="2">
        <v>0.1</v>
      </c>
    </row>
    <row r="8" spans="1:2">
      <c r="A8" t="s">
        <v>9</v>
      </c>
      <c r="B8" t="s">
        <v>52</v>
      </c>
    </row>
  </sheetData>
  <phoneticPr fontId="1"/>
  <hyperlinks>
    <hyperlink ref="B4" r:id="rId1" xr:uid="{E87C255A-D439-9D4A-B816-A316E101A870}"/>
  </hyperlink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Customer Master</vt:lpstr>
      <vt:lpstr>Invoice Input</vt:lpstr>
      <vt:lpstr>Invoice Output</vt:lpstr>
      <vt:lpstr>Settings</vt:lpstr>
      <vt:lpstr>'Invoice Output'!Print_Area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聖子 厚海</cp:lastModifiedBy>
  <dcterms:created xsi:type="dcterms:W3CDTF">2026-07-13T07:53:46Z</dcterms:created>
  <dcterms:modified xsi:type="dcterms:W3CDTF">2026-07-16T01:39:54Z</dcterms:modified>
  <cp:category/>
</cp:coreProperties>
</file>