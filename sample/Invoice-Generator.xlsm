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esktop/20260713_GitHub/"/>
    </mc:Choice>
  </mc:AlternateContent>
  <xr:revisionPtr revIDLastSave="0" documentId="13_ncr:1_{7421F1D8-5850-B741-8DBC-72AF22F4471E}" xr6:coauthVersionLast="47" xr6:coauthVersionMax="47" xr10:uidLastSave="{00000000-0000-0000-0000-000000000000}"/>
  <bookViews>
    <workbookView xWindow="5040" yWindow="1800" windowWidth="28300" windowHeight="17360" activeTab="1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2" l="1"/>
  <c r="B4" i="2"/>
  <c r="B8" i="2"/>
  <c r="B7" i="2"/>
  <c r="B6" i="2"/>
  <c r="D12" i="2"/>
  <c r="D13" i="2"/>
  <c r="D14" i="2"/>
  <c r="D15" i="2"/>
  <c r="D11" i="2"/>
  <c r="D17" i="2" s="1"/>
  <c r="D18" i="2" l="1"/>
  <c r="D19" i="2" s="1"/>
</calcChain>
</file>

<file path=xl/sharedStrings.xml><?xml version="1.0" encoding="utf-8"?>
<sst xmlns="http://schemas.openxmlformats.org/spreadsheetml/2006/main" count="74" uniqueCount="63">
  <si>
    <t>Customer ID</t>
    <phoneticPr fontId="1"/>
  </si>
  <si>
    <t>Customer Name</t>
  </si>
  <si>
    <t>Customer Name</t>
    <phoneticPr fontId="1"/>
  </si>
  <si>
    <t>Contact Name</t>
    <phoneticPr fontId="1"/>
  </si>
  <si>
    <t>Email</t>
  </si>
  <si>
    <t>Email</t>
    <phoneticPr fontId="1"/>
  </si>
  <si>
    <t>Address</t>
  </si>
  <si>
    <t>Address</t>
    <phoneticPr fontId="1"/>
  </si>
  <si>
    <t>Country</t>
    <phoneticPr fontId="1"/>
  </si>
  <si>
    <t>Currency</t>
  </si>
  <si>
    <t>Currency</t>
    <phoneticPr fontId="1"/>
  </si>
  <si>
    <t>Tax Rate</t>
  </si>
  <si>
    <t>Payment Terms</t>
    <phoneticPr fontId="1"/>
  </si>
  <si>
    <t>CUST-001</t>
  </si>
  <si>
    <t>Sakura Design Studio</t>
  </si>
  <si>
    <t>Aiko Tanaka</t>
  </si>
  <si>
    <t>aiko@example.com</t>
  </si>
  <si>
    <t>Tokyo, Japan</t>
  </si>
  <si>
    <t>Japan</t>
  </si>
  <si>
    <t>JPY</t>
  </si>
  <si>
    <t>Net 30</t>
  </si>
  <si>
    <t>CUST-002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</si>
  <si>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</si>
  <si>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</si>
  <si>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</si>
  <si>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</si>
  <si>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</si>
  <si>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</si>
  <si>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</si>
  <si>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</si>
  <si>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</si>
  <si>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</si>
  <si>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</si>
  <si>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</si>
  <si>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</si>
  <si>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</si>
  <si>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Invoice Number</t>
  </si>
  <si>
    <t>Invoice Date</t>
  </si>
  <si>
    <t>Due Date</t>
  </si>
  <si>
    <t>Description</t>
  </si>
  <si>
    <t>Quantity</t>
  </si>
  <si>
    <t>Unit Price</t>
    <phoneticPr fontId="1"/>
  </si>
  <si>
    <t>Amount</t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</si>
  <si>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</si>
  <si>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</si>
  <si>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</si>
  <si>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</si>
  <si>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</si>
  <si>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</si>
  <si>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</si>
  <si>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</si>
  <si>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</si>
  <si>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</si>
  <si>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</si>
  <si>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</si>
  <si>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</si>
  <si>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</si>
  <si>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</si>
  <si>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</si>
  <si>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</t>
  </si>
  <si>
    <t>Invoice Date</t>
    <phoneticPr fontId="1"/>
  </si>
  <si>
    <t>Due Date</t>
    <phoneticPr fontId="1"/>
  </si>
  <si>
    <t>Bill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</si>
</sst>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dimension ref="A1:I4"/>
  <sheetViews>
    <sheetView workbookViewId="0"/>
  </sheetViews>
  <sheetFormatPr baseColWidth="10" defaultRowHeight="20"/>
  <cols>
    <col min="1" max="1" width="12.140625" bestFit="1" customWidth="1"/>
    <col min="2" max="2" width="19.5703125" bestFit="1" customWidth="1"/>
    <col min="3" max="3" width="13" bestFit="1" customWidth="1"/>
    <col min="4" max="4" width="17.28515625" bestFit="1" customWidth="1"/>
    <col min="5" max="5" width="12.140625" bestFit="1" customWidth="1"/>
    <col min="6" max="6" width="14.5703125" bestFit="1" customWidth="1"/>
    <col min="9" max="9" width="14.28515625" bestFit="1" customWidth="1"/>
  </cols>
  <sheetData>
    <row r="1" spans="1:9" s="1" customFormat="1">
      <c r="A1" s="1" t="s">
        <v>0</v>
      </c>
      <c r="B1" s="1" t="s">
        <v>2</v>
      </c>
      <c r="C1" s="1" t="s">
        <v>3</v>
      </c>
      <c r="D1" s="1" t="s">
        <v>5</v>
      </c>
      <c r="E1" s="1" t="s">
        <v>7</v>
      </c>
      <c r="F1" s="1" t="s">
        <v>8</v>
      </c>
      <c r="G1" s="1" t="s">
        <v>10</v>
      </c>
      <c r="H1" s="1" t="s">
        <v>11</v>
      </c>
      <c r="I1" s="1" t="s">
        <v>12</v>
      </c>
    </row>
    <row r="2" spans="1:9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s="2">
        <v>0.1</v>
      </c>
      <c r="I2" t="s">
        <v>20</v>
      </c>
    </row>
    <row r="3" spans="1:9">
      <c r="A3" t="s">
        <v>21</v>
      </c>
      <c r="B3" t="s">
        <v>22</v>
      </c>
      <c r="C3" t="s">
        <v>23</v>
      </c>
      <c r="D3" t="s">
        <v>24</v>
      </c>
      <c r="E3" t="s">
        <v>25</v>
      </c>
      <c r="F3" t="s">
        <v>26</v>
      </c>
      <c r="G3" t="s">
        <v>27</v>
      </c>
      <c r="H3" s="2">
        <v>0.2</v>
      </c>
      <c r="I3" t="s">
        <v>20</v>
      </c>
    </row>
    <row r="4" spans="1:9">
      <c r="A4" t="s">
        <v>28</v>
      </c>
      <c r="B4" t="s">
        <v>29</v>
      </c>
      <c r="C4" t="s">
        <v>30</v>
      </c>
      <c r="D4" t="s">
        <v>31</v>
      </c>
      <c r="E4" t="s">
        <v>32</v>
      </c>
      <c r="F4" t="s">
        <v>33</v>
      </c>
      <c r="G4" t="s">
        <v>34</v>
      </c>
      <c r="H4" s="2">
        <v>0.2</v>
      </c>
      <c r="I4" t="s">
        <v>35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dimension ref="A1:G19"/>
  <sheetViews>
    <sheetView tabSelected="1" workbookViewId="0"/>
  </sheetViews>
  <sheetFormatPr baseColWidth="10" defaultRowHeight="20"/>
  <cols>
    <col min="1" max="1" width="14.28515625" bestFit="1" customWidth="1"/>
    <col min="2" max="2" width="11.7109375" bestFit="1" customWidth="1"/>
    <col min="4" max="4" width="11.5703125" bestFit="1" customWidth="1"/>
    <col min="5" max="5" width="14.5703125" bestFit="1" customWidth="1"/>
  </cols>
  <sheetData>
    <row r="1" spans="1:7" s="1" customFormat="1">
      <c r="A1" s="1" t="s">
        <v>36</v>
      </c>
      <c r="B1" s="1" t="s">
        <v>37</v>
      </c>
      <c r="C1" s="1" t="s">
        <v>38</v>
      </c>
      <c r="D1" s="1" t="s">
        <v>0</v>
      </c>
      <c r="E1" s="1" t="s">
        <v>1</v>
      </c>
      <c r="F1" s="1" t="s">
        <v>9</v>
      </c>
      <c r="G1" s="1" t="s">
        <v>11</v>
      </c>
    </row>
    <row r="2" spans="1:7">
      <c r="B2" t="str">
        <f>IF(B3="","",Settings!B5&amp;"-"&amp;TEXT(B3,"yyyymmdd")&amp;"-001")</f>
        <v>INV-20260801-001</v>
      </c>
    </row>
    <row r="3" spans="1:7">
      <c r="B3" s="4">
        <v>46235</v>
      </c>
    </row>
    <row r="4" spans="1:7">
      <c r="B4" s="4" t="str">
        <f>IF(OR(B3="",B5=""),"",B3+VALUE(SUBSTITUTE(_xlfn.XLOOKUP(B5,'Customer Master'!$A$2:$A$100,'Customer Master'!$I$2:$I$100),"Net ","")))</f>
        <v/>
      </c>
    </row>
    <row r="6" spans="1:7">
      <c r="B6">
        <f>IFERROR(_xlfn.XLOOKUP(B5,'Customer Master'!$A$2:$A$100,'Customer Master'!$B$2:$B$100),"")</f>
        <v>0</v>
      </c>
    </row>
    <row r="7" spans="1:7">
      <c r="B7">
        <f>IFERROR(_xlfn.XLOOKUP(B5,'Customer Master'!$A$2:$A$100,'Customer Master'!$G$2:$G$100),"")</f>
        <v>0</v>
      </c>
    </row>
    <row r="8" spans="1:7">
      <c r="B8">
        <f>IFERROR(_xlfn.XLOOKUP(B5,'Customer Master'!$A$2:$A$100,'Customer Master'!$H$2:$H$100),"")</f>
        <v>0</v>
      </c>
    </row>
    <row r="10" spans="1:7">
      <c r="A10" t="s">
        <v>39</v>
      </c>
      <c r="B10" t="s">
        <v>40</v>
      </c>
      <c r="C10" t="s">
        <v>41</v>
      </c>
      <c r="D10" t="s">
        <v>43</v>
      </c>
    </row>
    <row r="11" spans="1:7">
      <c r="D11">
        <f>B11*C11</f>
        <v>0</v>
      </c>
    </row>
    <row r="12" spans="1:7">
      <c r="D12">
        <f t="shared" ref="D12:D15" si="0">B12*C12</f>
        <v>0</v>
      </c>
    </row>
    <row r="13" spans="1:7">
      <c r="D13">
        <f t="shared" si="0"/>
        <v>0</v>
      </c>
    </row>
    <row r="14" spans="1:7">
      <c r="D14">
        <f t="shared" si="0"/>
        <v>0</v>
      </c>
    </row>
    <row r="15" spans="1:7">
      <c r="D15">
        <f t="shared" si="0"/>
        <v>0</v>
      </c>
    </row>
    <row r="17" spans="3:4">
      <c r="C17" t="s">
        <v>44</v>
      </c>
      <c r="D17">
        <f>SUM(D11:D15)</f>
        <v>0</v>
      </c>
    </row>
    <row r="18" spans="3:4">
      <c r="C18" t="s">
        <v>45</v>
      </c>
      <c r="D18">
        <f>D17*B8</f>
        <v>0</v>
      </c>
    </row>
    <row r="19" spans="3:4">
      <c r="C19" t="s">
        <v>46</v>
      </c>
      <c r="D19">
        <f>D17+D18</f>
        <v>0</v>
      </c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dimension ref="A1:A14"/>
  <sheetViews>
    <sheetView workbookViewId="0">
      <selection activeCell="A17" sqref="A17"/>
    </sheetView>
  </sheetViews>
  <sheetFormatPr baseColWidth="10" defaultRowHeight="20"/>
  <cols>
    <col min="1" max="1" width="14.28515625" bestFit="1" customWidth="1"/>
  </cols>
  <sheetData>
    <row r="1" spans="1:1">
      <c r="A1" t="s">
        <v>59</v>
      </c>
    </row>
    <row r="2" spans="1:1">
      <c r="A2" t="s">
        <v>36</v>
      </c>
    </row>
    <row r="3" spans="1:1">
      <c r="A3" t="s">
        <v>60</v>
      </c>
    </row>
    <row r="4" spans="1:1">
      <c r="A4" t="s">
        <v>61</v>
      </c>
    </row>
    <row r="6" spans="1:1">
      <c r="A6" t="s">
        <v>62</v>
      </c>
    </row>
    <row r="7" spans="1:1">
      <c r="A7" t="s">
        <v>1</v>
      </c>
    </row>
    <row r="8" spans="1:1">
      <c r="A8" t="s">
        <v>6</v>
      </c>
    </row>
    <row r="9" spans="1:1">
      <c r="A9" t="s">
        <v>4</v>
      </c>
    </row>
    <row r="11" spans="1:1">
      <c r="A11" t="s">
        <v>39</v>
      </c>
    </row>
    <row r="12" spans="1:1">
      <c r="A12" t="s">
        <v>40</v>
      </c>
    </row>
    <row r="13" spans="1:1">
      <c r="A13" t="s">
        <v>41</v>
      </c>
    </row>
    <row r="14" spans="1:1">
      <c r="A14" t="s">
        <v>42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dimension ref="A1:B8"/>
  <sheetViews>
    <sheetView workbookViewId="0"/>
  </sheetViews>
  <sheetFormatPr baseColWidth="10" defaultRowHeight="20"/>
  <cols>
    <col min="1" max="1" width="16.42578125" bestFit="1" customWidth="1"/>
    <col min="2" max="2" width="19" bestFit="1" customWidth="1"/>
    <col min="3" max="3" width="13" bestFit="1" customWidth="1"/>
    <col min="9" max="9" width="14.28515625" bestFit="1" customWidth="1"/>
  </cols>
  <sheetData>
    <row r="1" spans="1:2">
      <c r="A1" t="s">
        <v>47</v>
      </c>
      <c r="B1" t="s">
        <v>54</v>
      </c>
    </row>
    <row r="2" spans="1:2">
      <c r="A2" t="s">
        <v>48</v>
      </c>
      <c r="B2" t="s">
        <v>55</v>
      </c>
    </row>
    <row r="3" spans="1:2">
      <c r="A3" t="s">
        <v>49</v>
      </c>
      <c r="B3" t="s">
        <v>17</v>
      </c>
    </row>
    <row r="4" spans="1:2">
      <c r="A4" t="s">
        <v>50</v>
      </c>
      <c r="B4" s="3" t="s">
        <v>56</v>
      </c>
    </row>
    <row r="5" spans="1:2">
      <c r="A5" t="s">
        <v>51</v>
      </c>
      <c r="B5" t="s">
        <v>57</v>
      </c>
    </row>
    <row r="6" spans="1:2">
      <c r="A6" t="s">
        <v>52</v>
      </c>
      <c r="B6" t="s">
        <v>19</v>
      </c>
    </row>
    <row r="7" spans="1:2">
      <c r="A7" t="s">
        <v>53</v>
      </c>
      <c r="B7" s="2">
        <v>0.1</v>
      </c>
    </row>
    <row r="8" spans="1:2">
      <c r="A8" t="s">
        <v>12</v>
      </c>
      <c r="B8" t="s">
        <v>58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Customer Master</vt:lpstr>
      <vt:lpstr>Invoice Input</vt:lpstr>
      <vt:lpstr>Invoice Output</vt:lpstr>
      <vt:lpstr>Settings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2026-07-14T01:58:32Z</dcterms:modified>
  <cp:category/>
</cp:coreProperties>
</file>