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13" codeName="{F3310B89-0DAA-6C43-5919-0D5897632BE8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seikoatsuumi/Documents/GitHub/Invoice-Generator/"/>
    </mc:Choice>
  </mc:AlternateContent>
  <xr:revisionPtr revIDLastSave="0" documentId="13_ncr:1_{5064FC89-031B-1148-B83F-FB4D16E2ADCF}" xr6:coauthVersionLast="47" xr6:coauthVersionMax="47" xr10:uidLastSave="{00000000-0000-0000-0000-000000000000}"/>
  <bookViews>
    <workbookView xWindow="5160" yWindow="1760" windowWidth="28300" windowHeight="17360" activeTab="1" xr2:uid="{57FEA159-9BF7-5346-BDFF-3BFD644673EF}"/>
  </bookViews>
  <sheets>
    <sheet name="Customer Master" sheetId="1" r:id="rId1"/>
    <sheet name="Invoice Input" sheetId="2" r:id="rId2"/>
    <sheet name="Invoice Output" sheetId="3" r:id="rId3"/>
    <sheet name="Settings" sheetId="4" r:id="rId4"/>
  </sheets>
  <functionGroups builtInGroupCount="19"/>
  <definedNames>
    <definedName name="CustomerIDList">'Customer Master'!$A$2:$A$5</definedName>
    <definedName name="_xlnm.Print_Area" localSheetId="2">'Invoice Output'!$B$2:$F$33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F2" i="2" l="1"/>
  <c r="E2" i="2"/>
  <c r="C13" i="3"/>
  <c r="C12" i="3"/>
  <c r="C11" i="3"/>
  <c r="C10" i="3"/>
  <c r="F5" i="3"/>
  <c r="D22" i="2"/>
  <c r="D17" i="2"/>
  <c r="D18" i="2"/>
  <c r="D19" i="2"/>
  <c r="D20" i="2"/>
  <c r="D11" i="2"/>
  <c r="F4" i="3"/>
  <c r="D2" i="2"/>
  <c r="B2" i="2"/>
  <c r="D16" i="3"/>
  <c r="C16" i="3"/>
  <c r="B16" i="3"/>
  <c r="B4" i="2"/>
  <c r="F6" i="3" s="1"/>
  <c r="E16" i="3"/>
  <c r="D23" i="2" l="1"/>
  <c r="F7" i="3"/>
  <c r="D24" i="2"/>
  <c r="F27" i="3"/>
  <c r="F16" i="3"/>
  <c r="F29" i="3" l="1"/>
  <c r="F28" i="3"/>
</calcChain>
</file>

<file path=xl/sharedStrings.xml><?xml version="1.0" encoding="utf-8"?>
<sst xmlns="http://schemas.openxmlformats.org/spreadsheetml/2006/main" count="98" uniqueCount="69">
  <si>
    <t>Customer ID</t>
    <phoneticPr fontId="1"/>
  </si>
  <si>
    <t>Customer Name</t>
  </si>
  <si>
    <t>Customer Name</t>
    <phoneticPr fontId="1"/>
  </si>
  <si>
    <t>Contact Name</t>
    <phoneticPr fontId="1"/>
  </si>
  <si>
    <t>Email</t>
    <phoneticPr fontId="1"/>
  </si>
  <si>
    <t>Address</t>
    <phoneticPr fontId="1"/>
  </si>
  <si>
    <t>Country</t>
    <phoneticPr fontId="1"/>
  </si>
  <si>
    <t>Currency</t>
    <phoneticPr fontId="1"/>
  </si>
  <si>
    <t>Payment Terms</t>
    <phoneticPr fontId="1"/>
  </si>
  <si>
    <t>CUST-001</t>
  </si>
  <si>
    <t>Aiko Tanaka</t>
  </si>
  <si>
    <t>aiko@example.com</t>
  </si>
  <si>
    <t>Tokyo, Japan</t>
  </si>
  <si>
    <t>Japan</t>
  </si>
  <si>
    <t>JPY</t>
  </si>
  <si>
    <t>Net 30</t>
  </si>
  <si>
    <t>Lyon Digital Works</t>
  </si>
  <si>
    <t>Pierre Martin</t>
  </si>
  <si>
    <t>pierre@example.com</t>
  </si>
  <si>
    <t>Lyon, France</t>
  </si>
  <si>
    <t>France</t>
  </si>
  <si>
    <t>EUR</t>
  </si>
  <si>
    <t>CUST-003</t>
  </si>
  <si>
    <t>Northwind Consulting</t>
  </si>
  <si>
    <t>Emma Smith</t>
  </si>
  <si>
    <t>emma@example.com</t>
  </si>
  <si>
    <t>London, UK</t>
  </si>
  <si>
    <t>United Kingdom</t>
  </si>
  <si>
    <t>GBP</t>
  </si>
  <si>
    <t>Net 14</t>
  </si>
  <si>
    <t>Due Date</t>
  </si>
  <si>
    <t>Description</t>
  </si>
  <si>
    <t>Quantity</t>
  </si>
  <si>
    <t>Unit Price</t>
    <phoneticPr fontId="1"/>
  </si>
  <si>
    <t>Amount</t>
    <phoneticPr fontId="1"/>
  </si>
  <si>
    <t>Subtotal</t>
  </si>
  <si>
    <t>Tax</t>
    <phoneticPr fontId="1"/>
  </si>
  <si>
    <t>Total</t>
    <phoneticPr fontId="1"/>
  </si>
  <si>
    <t>Setting</t>
  </si>
  <si>
    <t>Company Name</t>
    <phoneticPr fontId="1"/>
  </si>
  <si>
    <t>Company Address</t>
  </si>
  <si>
    <t>Company Email</t>
  </si>
  <si>
    <t>Invoice Prefix</t>
  </si>
  <si>
    <t>Default Currency</t>
    <phoneticPr fontId="1"/>
  </si>
  <si>
    <t>Default Tax Rate</t>
  </si>
  <si>
    <t>Value</t>
  </si>
  <si>
    <t>Your Company Name</t>
  </si>
  <si>
    <t>billing@example.com</t>
    <phoneticPr fontId="1"/>
  </si>
  <si>
    <t>INV</t>
  </si>
  <si>
    <t>Net 30</t>
    <phoneticPr fontId="1"/>
  </si>
  <si>
    <t>Invoice Date</t>
    <phoneticPr fontId="1"/>
  </si>
  <si>
    <t>Due Date</t>
    <phoneticPr fontId="1"/>
  </si>
  <si>
    <t>Bill To</t>
  </si>
  <si>
    <t>INVOICE</t>
    <phoneticPr fontId="1"/>
  </si>
  <si>
    <t>From</t>
    <phoneticPr fontId="1"/>
  </si>
  <si>
    <t>Company Address</t>
    <phoneticPr fontId="1"/>
  </si>
  <si>
    <t>Invoice Number</t>
    <phoneticPr fontId="1"/>
  </si>
  <si>
    <t>Tax Rate</t>
    <phoneticPr fontId="1"/>
  </si>
  <si>
    <t>Tax</t>
  </si>
  <si>
    <t>Total</t>
  </si>
  <si>
    <t>Notes</t>
    <phoneticPr fontId="1"/>
  </si>
  <si>
    <t>Thank you for your business.</t>
  </si>
  <si>
    <t>CUST-004</t>
    <phoneticPr fontId="1"/>
  </si>
  <si>
    <t>Test Company</t>
    <phoneticPr fontId="1"/>
  </si>
  <si>
    <t>CUST-002</t>
    <phoneticPr fontId="1"/>
  </si>
  <si>
    <t>Sakura Design Studio</t>
    <phoneticPr fontId="1"/>
  </si>
  <si>
    <t>JPY</t>
    <phoneticPr fontId="1"/>
  </si>
  <si>
    <t>Next Invoice Number</t>
  </si>
  <si>
    <t>Invoice Number Digits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</si>
</sst>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>
    <font>
      <sz val="12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u/>
      <sz val="12"/>
      <color theme="10"/>
      <name val="游ゴシック"/>
      <family val="2"/>
      <charset val="128"/>
      <scheme val="minor"/>
    </font>
    <font>
      <b/>
      <sz val="24"/>
      <color theme="1"/>
      <name val="游ゴシック"/>
      <family val="3"/>
      <charset val="128"/>
      <scheme val="minor"/>
    </font>
    <font>
      <b/>
      <sz val="12"/>
      <color theme="1"/>
      <name val="游ゴシック"/>
      <family val="3"/>
      <charset val="128"/>
      <scheme val="minor"/>
    </font>
    <font>
      <b/>
      <u/>
      <sz val="12"/>
      <color theme="1"/>
      <name val="游ゴシック"/>
      <family val="3"/>
      <charset val="128"/>
      <scheme val="minor"/>
    </font>
    <font>
      <b/>
      <sz val="14"/>
      <color theme="1"/>
      <name val="游ゴシック"/>
      <family val="3"/>
      <charset val="128"/>
      <scheme val="minor"/>
    </font>
    <font>
      <b/>
      <sz val="24"/>
      <color rgb="FF000000"/>
      <name val="游ゴシック"/>
      <family val="3"/>
      <charset val="128"/>
    </font>
    <font>
      <b/>
      <sz val="12"/>
      <color theme="0"/>
      <name val="游ゴシック"/>
      <family val="2"/>
      <charset val="128"/>
      <scheme val="minor"/>
    </font>
    <font>
      <b/>
      <sz val="18"/>
      <color theme="1"/>
      <name val="游ゴシック"/>
      <family val="3"/>
      <charset val="128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</fills>
  <borders count="5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</cellStyleXfs>
  <cellXfs count="18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9" fontId="0" fillId="0" borderId="0" xfId="0" applyNumberFormat="1">
      <alignment vertical="center"/>
    </xf>
    <xf numFmtId="0" fontId="2" fillId="0" borderId="0" xfId="1">
      <alignment vertical="center"/>
    </xf>
    <xf numFmtId="14" fontId="0" fillId="0" borderId="0" xfId="0" applyNumberFormat="1">
      <alignment vertical="center"/>
    </xf>
    <xf numFmtId="0" fontId="4" fillId="0" borderId="0" xfId="0" applyFont="1">
      <alignment vertical="center"/>
    </xf>
    <xf numFmtId="0" fontId="5" fillId="2" borderId="0" xfId="0" applyFont="1" applyFill="1" applyAlignment="1">
      <alignment horizontal="center" vertical="center"/>
    </xf>
    <xf numFmtId="0" fontId="0" fillId="0" borderId="0" xfId="0" quotePrefix="1">
      <alignment vertical="center"/>
    </xf>
    <xf numFmtId="0" fontId="6" fillId="0" borderId="1" xfId="0" applyFont="1" applyBorder="1">
      <alignment vertical="center"/>
    </xf>
    <xf numFmtId="0" fontId="0" fillId="0" borderId="2" xfId="0" applyBorder="1">
      <alignment vertical="center"/>
    </xf>
    <xf numFmtId="0" fontId="8" fillId="3" borderId="3" xfId="0" applyFont="1" applyFill="1" applyBorder="1" applyAlignment="1">
      <alignment horizontal="center" vertical="center"/>
    </xf>
    <xf numFmtId="0" fontId="0" fillId="4" borderId="3" xfId="0" applyFill="1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9" fontId="0" fillId="0" borderId="0" xfId="0" applyNumberFormat="1" applyAlignment="1">
      <alignment horizontal="center" vertical="center"/>
    </xf>
    <xf numFmtId="0" fontId="0" fillId="0" borderId="0" xfId="0" applyAlignment="1">
      <alignment horizontal="left" vertical="center"/>
    </xf>
    <xf numFmtId="14" fontId="0" fillId="0" borderId="0" xfId="0" applyNumberFormat="1" applyAlignment="1">
      <alignment horizontal="left" vertical="center"/>
    </xf>
    <xf numFmtId="0" fontId="3" fillId="0" borderId="0" xfId="0" applyFont="1" applyAlignment="1">
      <alignment horizontal="center" vertical="center"/>
    </xf>
  </cellXfs>
  <cellStyles count="2">
    <cellStyle name="ハイパーリンク" xfId="1" builtinId="8"/>
    <cellStyle name="標準" xfId="0" builtinId="0"/>
  </cellStyles>
  <dxfs count="3">
    <dxf>
      <numFmt numFmtId="13" formatCode="0%"/>
    </dxf>
    <dxf>
      <border outline="0">
        <left style="thin">
          <color theme="4" tint="0.39997558519241921"/>
        </left>
      </border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444500</xdr:colOff>
          <xdr:row>0</xdr:row>
          <xdr:rowOff>88900</xdr:rowOff>
        </xdr:from>
        <xdr:to>
          <xdr:col>10</xdr:col>
          <xdr:colOff>571500</xdr:colOff>
          <xdr:row>2</xdr:row>
          <xdr:rowOff>241300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4864" rIns="45720" bIns="54864" anchor="ctr" upright="1"/>
            <a:lstStyle/>
            <a:p>
              <a:pPr algn="ctr" rtl="0">
                <a:defRPr sz="1000"/>
              </a:pPr>
              <a:r>
                <a:rPr lang="ja-JP" altLang="en-US" sz="2400" b="1" i="0" u="none" strike="noStrike" baseline="0">
                  <a:solidFill>
                    <a:srgbClr val="000000"/>
                  </a:solidFill>
                  <a:latin typeface="游ゴシック" charset="-128"/>
                  <a:ea typeface="游ゴシック" charset="-128"/>
                </a:rPr>
                <a:t>Generate Invoice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495300</xdr:colOff>
          <xdr:row>4</xdr:row>
          <xdr:rowOff>165100</xdr:rowOff>
        </xdr:from>
        <xdr:to>
          <xdr:col>10</xdr:col>
          <xdr:colOff>533400</xdr:colOff>
          <xdr:row>7</xdr:row>
          <xdr:rowOff>101600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2DC24A4-CDA7-4FC6-B93D-0D3959E9CFF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800" b="1" i="0" u="none" strike="noStrike" baseline="0">
                  <a:solidFill>
                    <a:srgbClr val="000000"/>
                  </a:solidFill>
                  <a:latin typeface="游ゴシック" charset="-128"/>
                  <a:ea typeface="游ゴシック" charset="-128"/>
                </a:rPr>
                <a:t>New Invoice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3F915DF-5978-1B4D-A573-8D609A19A475}" name="tblCustomers" displayName="tblCustomers" ref="A1:I5" totalsRowShown="0" headerRowDxfId="2" tableBorderDxfId="1">
  <autoFilter ref="A1:I5" xr:uid="{B3F915DF-5978-1B4D-A573-8D609A19A475}"/>
  <tableColumns count="9">
    <tableColumn id="1" xr3:uid="{FDF7E4BA-CBD9-4740-AF72-DCA6071CA984}" name="Customer ID"/>
    <tableColumn id="2" xr3:uid="{28CBCE3E-8823-FC48-8649-EFF2EF3347B7}" name="Customer Name"/>
    <tableColumn id="3" xr3:uid="{5CF48566-EA52-4746-85EA-3393E148D124}" name="Contact Name"/>
    <tableColumn id="4" xr3:uid="{D3CA7151-2939-134B-8EB3-4270D0C3848C}" name="Email"/>
    <tableColumn id="5" xr3:uid="{A4CFF023-2B96-AE44-87E3-32AA7E4E17F9}" name="Address"/>
    <tableColumn id="6" xr3:uid="{E662317E-7CA6-7E48-A108-A913FDD4C844}" name="Country"/>
    <tableColumn id="7" xr3:uid="{AF0BD86E-A35A-9B4C-B5B3-299FC06FB9E2}" name="Currency"/>
    <tableColumn id="8" xr3:uid="{EF4A8AB1-8C2A-FC47-8298-A148F72BC665}" name="Tax Rate" dataDxfId="0"/>
    <tableColumn id="9" xr3:uid="{F9BF46F8-709D-BF42-B604-A635FE9735FF}" name="Payment Terms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7D29161-E957-BA4A-A7E0-139366AA8613}" name="tblInvoiceItems" displayName="tblInvoiceItems" ref="A10:D20" totalsRowShown="0">
  <autoFilter ref="A10:D20" xr:uid="{67D29161-E957-BA4A-A7E0-139366AA8613}"/>
  <tableColumns count="4">
    <tableColumn id="1" xr3:uid="{E80965E7-45B9-1D4B-8229-6469BB5CB5C9}" name="Description"/>
    <tableColumn id="2" xr3:uid="{A83EFF60-AFE9-9841-B723-A42C13A0B9F5}" name="Quantity"/>
    <tableColumn id="3" xr3:uid="{F750B990-943A-C540-8CEE-628F18D84F59}" name="Unit Price"/>
    <tableColumn id="4" xr3:uid="{1A18064A-427E-4D42-9D50-34F6068D32FA}" name="Amount">
      <calculatedColumnFormula>IF(OR(B11="",C11=""),"",B11*C11)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C6A3139-B13A-1346-B0B9-B68AE0655174}" name="tblSettings" displayName="tblSettings" ref="A1:B10" totalsRowShown="0">
  <autoFilter ref="A1:B10" xr:uid="{8C6A3139-B13A-1346-B0B9-B68AE0655174}"/>
  <tableColumns count="2">
    <tableColumn id="1" xr3:uid="{1A5AF2C5-872F-FC4E-B47F-2349F225D55E}" name="Setting"/>
    <tableColumn id="2" xr3:uid="{1CA857E6-E1DF-9046-A09C-1256F593755A}" name="Valu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table" Target="../tables/table2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hyperlink" Target="mailto:billing@example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9A094B-131B-E548-A0CB-F26665BEACC4}">
  <sheetPr codeName="Sheet1"/>
  <dimension ref="A1:I10"/>
  <sheetViews>
    <sheetView workbookViewId="0">
      <selection activeCell="F10" sqref="F10"/>
    </sheetView>
  </sheetViews>
  <sheetFormatPr baseColWidth="10" defaultRowHeight="20"/>
  <cols>
    <col min="1" max="1" width="13.42578125" customWidth="1"/>
    <col min="2" max="2" width="19.5703125" bestFit="1" customWidth="1"/>
    <col min="3" max="3" width="14.5703125" customWidth="1"/>
    <col min="4" max="4" width="17.28515625" bestFit="1" customWidth="1"/>
    <col min="5" max="5" width="12.140625" bestFit="1" customWidth="1"/>
    <col min="6" max="6" width="14.5703125" bestFit="1" customWidth="1"/>
    <col min="9" max="9" width="15.5703125" customWidth="1"/>
  </cols>
  <sheetData>
    <row r="1" spans="1:9" s="1" customFormat="1">
      <c r="A1" s="10" t="s">
        <v>0</v>
      </c>
      <c r="B1" s="1" t="s">
        <v>2</v>
      </c>
      <c r="C1" s="1" t="s">
        <v>3</v>
      </c>
      <c r="D1" s="1" t="s">
        <v>4</v>
      </c>
      <c r="E1" s="1" t="s">
        <v>5</v>
      </c>
      <c r="F1" s="1" t="s">
        <v>6</v>
      </c>
      <c r="G1" s="1" t="s">
        <v>7</v>
      </c>
      <c r="H1" s="1" t="s">
        <v>57</v>
      </c>
      <c r="I1" s="1" t="s">
        <v>8</v>
      </c>
    </row>
    <row r="2" spans="1:9">
      <c r="A2" s="11" t="s">
        <v>9</v>
      </c>
      <c r="B2" t="s">
        <v>65</v>
      </c>
      <c r="C2" t="s">
        <v>10</v>
      </c>
      <c r="D2" t="s">
        <v>11</v>
      </c>
      <c r="E2" t="s">
        <v>12</v>
      </c>
      <c r="F2" t="s">
        <v>13</v>
      </c>
      <c r="G2" t="s">
        <v>14</v>
      </c>
      <c r="H2" s="2">
        <v>0.1</v>
      </c>
      <c r="I2" t="s">
        <v>15</v>
      </c>
    </row>
    <row r="3" spans="1:9">
      <c r="A3" s="12" t="s">
        <v>64</v>
      </c>
      <c r="B3" t="s">
        <v>16</v>
      </c>
      <c r="C3" t="s">
        <v>17</v>
      </c>
      <c r="D3" t="s">
        <v>18</v>
      </c>
      <c r="E3" t="s">
        <v>19</v>
      </c>
      <c r="F3" t="s">
        <v>20</v>
      </c>
      <c r="G3" t="s">
        <v>21</v>
      </c>
      <c r="H3" s="2">
        <v>0.2</v>
      </c>
      <c r="I3" t="s">
        <v>15</v>
      </c>
    </row>
    <row r="4" spans="1:9">
      <c r="A4" s="11" t="s">
        <v>22</v>
      </c>
      <c r="B4" t="s">
        <v>23</v>
      </c>
      <c r="C4" t="s">
        <v>24</v>
      </c>
      <c r="D4" t="s">
        <v>25</v>
      </c>
      <c r="E4" t="s">
        <v>26</v>
      </c>
      <c r="F4" t="s">
        <v>27</v>
      </c>
      <c r="G4" t="s">
        <v>28</v>
      </c>
      <c r="H4" s="2">
        <v>0.2</v>
      </c>
      <c r="I4" t="s">
        <v>29</v>
      </c>
    </row>
    <row r="5" spans="1:9">
      <c r="A5" s="9" t="s">
        <v>62</v>
      </c>
      <c r="B5" t="s">
        <v>63</v>
      </c>
      <c r="C5" t="s">
        <v>17</v>
      </c>
      <c r="D5" t="s">
        <v>18</v>
      </c>
      <c r="E5" t="s">
        <v>19</v>
      </c>
      <c r="F5" t="s">
        <v>20</v>
      </c>
      <c r="G5" t="s">
        <v>66</v>
      </c>
      <c r="H5" s="2">
        <v>0.1</v>
      </c>
      <c r="I5" t="s">
        <v>49</v>
      </c>
    </row>
    <row r="10" spans="1:9">
      <c r="F10" s="13" t="s">
        <v>20</v>
      </c>
    </row>
  </sheetData>
  <phoneticPr fontId="1"/>
  <pageMargins left="0.7" right="0.7" top="0.75" bottom="0.75" header="0.3" footer="0.3"/>
  <pageSetup paperSize="9" orientation="portrait" horizontalDpi="0" verticalDpi="0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26B57D-A8A2-2F44-954A-9C7400A45EC0}">
  <sheetPr codeName="Sheet2"/>
  <dimension ref="A1:G24"/>
  <sheetViews>
    <sheetView tabSelected="1" workbookViewId="0">
      <selection activeCell="A2" sqref="A2"/>
    </sheetView>
  </sheetViews>
  <sheetFormatPr baseColWidth="10" defaultRowHeight="20"/>
  <cols>
    <col min="1" max="1" width="14.28515625" bestFit="1" customWidth="1"/>
    <col min="2" max="2" width="17.5703125" bestFit="1" customWidth="1"/>
    <col min="3" max="3" width="11.7109375" bestFit="1" customWidth="1"/>
    <col min="4" max="4" width="11.5703125" bestFit="1" customWidth="1"/>
    <col min="5" max="5" width="14.5703125" bestFit="1" customWidth="1"/>
    <col min="6" max="6" width="10.7109375" style="2"/>
    <col min="7" max="7" width="14.28515625" bestFit="1" customWidth="1"/>
  </cols>
  <sheetData>
    <row r="1" spans="1:7" s="1" customFormat="1">
      <c r="A1" s="1" t="s">
        <v>0</v>
      </c>
      <c r="B1" s="1" t="s">
        <v>2</v>
      </c>
      <c r="C1" s="1" t="s">
        <v>50</v>
      </c>
      <c r="D1" s="1" t="s">
        <v>30</v>
      </c>
      <c r="E1" s="1" t="s">
        <v>7</v>
      </c>
      <c r="F1" s="14" t="s">
        <v>57</v>
      </c>
      <c r="G1" s="1" t="s">
        <v>56</v>
      </c>
    </row>
    <row r="2" spans="1:7">
      <c r="A2" t="s">
        <v>9</v>
      </c>
      <c r="B2" t="str">
        <f>IFERROR(_xlfn.XLOOKUP(A2,tblCustomers[Customer ID],tblCustomers[Customer Name]),"")</f>
        <v>Sakura Design Studio</v>
      </c>
      <c r="C2" s="4"/>
      <c r="D2" s="4" t="str">
        <f>IF(OR(A2="",C2=""),"",C2+VALUE(SUBSTITUTE(_xlfn.XLOOKUP(A2,tblCustomers[Customer ID],tblCustomers[Payment Terms]),"Net ","")))</f>
        <v/>
      </c>
      <c r="E2" t="str">
        <f>IFERROR(_xlfn.XLOOKUP(A2,tblCustomers[Customer ID],tblCustomers[Currency]),"")</f>
        <v>JPY</v>
      </c>
      <c r="F2" s="2">
        <f>IFERROR(_xlfn.XLOOKUP(A2,tblCustomers[Customer ID],tblCustomers[Tax Rate]),"")</f>
        <v>0.1</v>
      </c>
    </row>
    <row r="3" spans="1:7">
      <c r="B3" s="4"/>
    </row>
    <row r="4" spans="1:7">
      <c r="B4" s="4" t="str">
        <f>IF(OR(B3="",B5=""),"",B3+VALUE(SUBSTITUTE(_xlfn.XLOOKUP(B5,'Customer Master'!$A$2:$A$100,'Customer Master'!$I$2:$I$100),"Net ","")))</f>
        <v/>
      </c>
    </row>
    <row r="10" spans="1:7">
      <c r="A10" t="s">
        <v>31</v>
      </c>
      <c r="B10" t="s">
        <v>32</v>
      </c>
      <c r="C10" t="s">
        <v>33</v>
      </c>
      <c r="D10" t="s">
        <v>34</v>
      </c>
    </row>
    <row r="11" spans="1:7">
      <c r="D11" t="str">
        <f>IF(OR(B11="",C11=""),"",B11*C11)</f>
        <v/>
      </c>
    </row>
    <row r="17" spans="3:4">
      <c r="D17" t="str">
        <f t="shared" ref="D17:D20" si="0">IF(OR(B17="",C17=""),"",B17*C17)</f>
        <v/>
      </c>
    </row>
    <row r="18" spans="3:4">
      <c r="D18" t="str">
        <f t="shared" si="0"/>
        <v/>
      </c>
    </row>
    <row r="19" spans="3:4">
      <c r="D19" t="str">
        <f t="shared" si="0"/>
        <v/>
      </c>
    </row>
    <row r="20" spans="3:4">
      <c r="D20" t="str">
        <f t="shared" si="0"/>
        <v/>
      </c>
    </row>
    <row r="22" spans="3:4">
      <c r="C22" t="s">
        <v>35</v>
      </c>
      <c r="D22" t="str">
        <f>IF(COUNTA(tblInvoiceItems[Description])=0,"",SUM(tblInvoiceItems[Amount]))</f>
        <v/>
      </c>
    </row>
    <row r="23" spans="3:4">
      <c r="C23" t="s">
        <v>36</v>
      </c>
      <c r="D23" t="str">
        <f>IF(OR(D22="",F2=""),"",D22*F2)</f>
        <v/>
      </c>
    </row>
    <row r="24" spans="3:4">
      <c r="C24" t="s">
        <v>37</v>
      </c>
      <c r="D24" t="str">
        <f>IF(OR(D22="",D23=""),"",D22+D23)</f>
        <v/>
      </c>
    </row>
  </sheetData>
  <phoneticPr fontId="1"/>
  <dataValidations count="1">
    <dataValidation type="list" allowBlank="1" showInputMessage="1" showErrorMessage="1" sqref="A2" xr:uid="{8BAE6FDF-5B05-814D-8FB5-7EE60A7121FF}">
      <formula1>CustomerIDList</formula1>
    </dataValidation>
  </dataValidations>
  <pageMargins left="0.7" right="0.7" top="0.75" bottom="0.75" header="0.3" footer="0.3"/>
  <pageSetup paperSize="9"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GenerateInvoice">
                <anchor moveWithCells="1" sizeWithCells="1">
                  <from>
                    <xdr:col>8</xdr:col>
                    <xdr:colOff>444500</xdr:colOff>
                    <xdr:row>0</xdr:row>
                    <xdr:rowOff>88900</xdr:rowOff>
                  </from>
                  <to>
                    <xdr:col>10</xdr:col>
                    <xdr:colOff>571500</xdr:colOff>
                    <xdr:row>2</xdr:row>
                    <xdr:rowOff>241300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4" name="Button 8">
              <controlPr defaultSize="0" print="0" autoFill="0" autoPict="0" macro="[0]!NewInvoice">
                <anchor moveWithCells="1" sizeWithCells="1">
                  <from>
                    <xdr:col>8</xdr:col>
                    <xdr:colOff>495300</xdr:colOff>
                    <xdr:row>4</xdr:row>
                    <xdr:rowOff>165100</xdr:rowOff>
                  </from>
                  <to>
                    <xdr:col>10</xdr:col>
                    <xdr:colOff>533400</xdr:colOff>
                    <xdr:row>7</xdr:row>
                    <xdr:rowOff>101600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AEF530C-D9A7-5C40-8CEA-A3F35E758BDA}">
          <x14:formula1>
            <xm:f>'Customer Master'!$A$2:$A$100</xm:f>
          </x14:formula1>
          <xm:sqref>B5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99C275-C0FF-8447-B1D0-C4A2F5F148D2}">
  <sheetPr codeName="Sheet3">
    <pageSetUpPr fitToPage="1"/>
  </sheetPr>
  <dimension ref="B2:F33"/>
  <sheetViews>
    <sheetView workbookViewId="0">
      <selection activeCell="I10" sqref="I10"/>
    </sheetView>
  </sheetViews>
  <sheetFormatPr baseColWidth="10" defaultRowHeight="20"/>
  <cols>
    <col min="1" max="1" width="3.7109375" customWidth="1"/>
    <col min="2" max="3" width="18.7109375" customWidth="1"/>
    <col min="4" max="5" width="12.7109375" customWidth="1"/>
    <col min="6" max="6" width="14.7109375" customWidth="1"/>
    <col min="7" max="7" width="3.7109375" customWidth="1"/>
  </cols>
  <sheetData>
    <row r="2" spans="2:6" ht="40">
      <c r="B2" s="17" t="s">
        <v>53</v>
      </c>
      <c r="C2" s="17"/>
      <c r="D2" s="17"/>
      <c r="E2" s="17"/>
      <c r="F2" s="17"/>
    </row>
    <row r="4" spans="2:6">
      <c r="B4" s="5" t="s">
        <v>54</v>
      </c>
      <c r="E4" s="5" t="s">
        <v>56</v>
      </c>
      <c r="F4" s="15" t="str">
        <f>IF('Invoice Input'!G2="","",'Invoice Input'!G2)</f>
        <v/>
      </c>
    </row>
    <row r="5" spans="2:6">
      <c r="B5" t="s">
        <v>39</v>
      </c>
      <c r="E5" t="s">
        <v>50</v>
      </c>
      <c r="F5" s="16" t="str">
        <f>IF('Invoice Input'!C2="","",'Invoice Input'!C2)</f>
        <v/>
      </c>
    </row>
    <row r="6" spans="2:6">
      <c r="B6" t="s">
        <v>55</v>
      </c>
      <c r="E6" t="s">
        <v>51</v>
      </c>
      <c r="F6" s="16" t="str">
        <f>'Invoice Input'!B4</f>
        <v/>
      </c>
    </row>
    <row r="7" spans="2:6">
      <c r="B7" t="s">
        <v>41</v>
      </c>
      <c r="E7" s="5" t="s">
        <v>7</v>
      </c>
      <c r="F7" s="15" t="str">
        <f>IF('Invoice Input'!G2="","",'Invoice Input'!E2)</f>
        <v/>
      </c>
    </row>
    <row r="9" spans="2:6">
      <c r="B9" s="5" t="s">
        <v>52</v>
      </c>
    </row>
    <row r="10" spans="2:6">
      <c r="B10" t="s">
        <v>1</v>
      </c>
      <c r="C10" s="7" t="str">
        <f>IFERROR(_xlfn.XLOOKUP('Invoice Input'!A2,tblCustomers[Customer ID],tblCustomers[Customer Name]),"")</f>
        <v>Sakura Design Studio</v>
      </c>
    </row>
    <row r="11" spans="2:6">
      <c r="B11" t="s">
        <v>3</v>
      </c>
      <c r="C11" t="str">
        <f>IFERROR(_xlfn.XLOOKUP('Invoice Input'!A2,tblCustomers[Customer ID],tblCustomers[Contact Name]),"")</f>
        <v>Aiko Tanaka</v>
      </c>
    </row>
    <row r="12" spans="2:6">
      <c r="B12" t="s">
        <v>5</v>
      </c>
      <c r="C12" t="str">
        <f>IFERROR(_xlfn.XLOOKUP('Invoice Input'!A2,tblCustomers[Customer ID],tblCustomers[Address]),"")</f>
        <v>Tokyo, Japan</v>
      </c>
    </row>
    <row r="13" spans="2:6">
      <c r="B13" t="s">
        <v>4</v>
      </c>
      <c r="C13" t="str">
        <f>IFERROR(_xlfn.XLOOKUP('Invoice Input'!A2,tblCustomers[Customer ID],tblCustomers[Email]),"")</f>
        <v>aiko@example.com</v>
      </c>
    </row>
    <row r="15" spans="2:6">
      <c r="B15" s="6" t="s">
        <v>31</v>
      </c>
      <c r="C15" t="s">
        <v>32</v>
      </c>
      <c r="D15" t="s">
        <v>33</v>
      </c>
      <c r="E15" s="6" t="s">
        <v>57</v>
      </c>
      <c r="F15" t="s">
        <v>34</v>
      </c>
    </row>
    <row r="16" spans="2:6">
      <c r="B16">
        <f>'Invoice Input'!A11</f>
        <v>0</v>
      </c>
      <c r="C16">
        <f>'Invoice Input'!B11</f>
        <v>0</v>
      </c>
      <c r="D16">
        <f>'Invoice Input'!C11</f>
        <v>0</v>
      </c>
      <c r="E16">
        <f>'Invoice Input'!B8</f>
        <v>0</v>
      </c>
      <c r="F16" t="str">
        <f>'Invoice Input'!D11</f>
        <v/>
      </c>
    </row>
    <row r="27" spans="2:6">
      <c r="E27" t="s">
        <v>35</v>
      </c>
      <c r="F27" t="str">
        <f>'Invoice Input'!D22</f>
        <v/>
      </c>
    </row>
    <row r="28" spans="2:6">
      <c r="E28" t="s">
        <v>58</v>
      </c>
      <c r="F28" t="str">
        <f>'Invoice Input'!D23</f>
        <v/>
      </c>
    </row>
    <row r="29" spans="2:6" ht="24">
      <c r="E29" s="5" t="s">
        <v>59</v>
      </c>
      <c r="F29" s="8" t="str">
        <f>'Invoice Input'!D24</f>
        <v/>
      </c>
    </row>
    <row r="32" spans="2:6">
      <c r="B32" s="5" t="s">
        <v>60</v>
      </c>
    </row>
    <row r="33" spans="2:2">
      <c r="B33" t="s">
        <v>61</v>
      </c>
    </row>
  </sheetData>
  <mergeCells count="1">
    <mergeCell ref="B2:F2"/>
  </mergeCells>
  <phoneticPr fontId="1"/>
  <printOptions horizontalCentered="1" verticalCentered="1"/>
  <pageMargins left="0.25" right="0.25" top="0.75" bottom="0.75" header="0.3" footer="0.3"/>
  <pageSetup paperSize="9" orientation="portrait" horizontalDpi="0" verticalDpi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2176F4-3896-4540-81E3-0A8A138245BF}">
  <sheetPr codeName="Sheet4"/>
  <dimension ref="A1:B10"/>
  <sheetViews>
    <sheetView workbookViewId="0">
      <selection activeCell="B11" sqref="B11"/>
    </sheetView>
  </sheetViews>
  <sheetFormatPr baseColWidth="10" defaultRowHeight="20"/>
  <cols>
    <col min="1" max="1" width="19.85546875" bestFit="1" customWidth="1"/>
    <col min="2" max="2" width="19" bestFit="1" customWidth="1"/>
    <col min="7" max="7" width="14.28515625" bestFit="1" customWidth="1"/>
  </cols>
  <sheetData>
    <row r="1" spans="1:2">
      <c r="A1" t="s">
        <v>38</v>
      </c>
      <c r="B1" t="s">
        <v>45</v>
      </c>
    </row>
    <row r="2" spans="1:2">
      <c r="A2" t="s">
        <v>39</v>
      </c>
      <c r="B2" t="s">
        <v>46</v>
      </c>
    </row>
    <row r="3" spans="1:2">
      <c r="A3" t="s">
        <v>40</v>
      </c>
      <c r="B3" t="s">
        <v>12</v>
      </c>
    </row>
    <row r="4" spans="1:2">
      <c r="A4" t="s">
        <v>41</v>
      </c>
      <c r="B4" s="3" t="s">
        <v>47</v>
      </c>
    </row>
    <row r="5" spans="1:2">
      <c r="A5" t="s">
        <v>42</v>
      </c>
      <c r="B5" t="s">
        <v>48</v>
      </c>
    </row>
    <row r="6" spans="1:2">
      <c r="A6" t="s">
        <v>43</v>
      </c>
      <c r="B6" t="s">
        <v>14</v>
      </c>
    </row>
    <row r="7" spans="1:2">
      <c r="A7" t="s">
        <v>44</v>
      </c>
      <c r="B7" s="2">
        <v>0.1</v>
      </c>
    </row>
    <row r="8" spans="1:2">
      <c r="A8" t="s">
        <v>8</v>
      </c>
      <c r="B8" t="s">
        <v>49</v>
      </c>
    </row>
    <row r="9" spans="1:2">
      <c r="A9" t="s">
        <v>67</v>
      </c>
      <c r="B9">
        <v>2</v>
      </c>
    </row>
    <row r="10" spans="1:2">
      <c r="A10" t="s">
        <v>68</v>
      </c>
      <c r="B10">
        <v>6</v>
      </c>
    </row>
  </sheetData>
  <phoneticPr fontId="1"/>
  <hyperlinks>
    <hyperlink ref="B4" r:id="rId1" xr:uid="{E87C255A-D439-9D4A-B816-A316E101A870}"/>
  </hyperlinks>
  <pageMargins left="0.7" right="0.7" top="0.75" bottom="0.75" header="0.3" footer="0.3"/>
  <pageSetup paperSize="9" orientation="portrait" horizontalDpi="0" verticalDpi="0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ワークシート</vt:lpstr>
      </vt:variant>
      <vt:variant>
        <vt:i4>4</vt:i4>
      </vt:variant>
      <vt:variant>
        <vt:lpstr>名前付き一覧</vt:lpstr>
      </vt:variant>
      <vt:variant>
        <vt:i4>2</vt:i4>
      </vt:variant>
    </vt:vector>
  </HeadingPairs>
  <TitlesOfParts>
    <vt:vector size="6" baseType="lpstr">
      <vt:lpstr>Customer Master</vt:lpstr>
      <vt:lpstr>Invoice Input</vt:lpstr>
      <vt:lpstr>Invoice Output</vt:lpstr>
      <vt:lpstr>Settings</vt:lpstr>
      <vt:lpstr>CustomerIDList</vt:lpstr>
      <vt:lpstr>'Invoice Output'!Print_Area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>聖子 厚海</cp:lastModifiedBy>
  <dcterms:created xsi:type="dcterms:W3CDTF">2026-07-13T07:53:46Z</dcterms:created>
  <dcterms:modified xsi:type="dcterms:W3CDTF">2026-08-11T01:10:35Z</dcterms:modified>
  <cp:category/>
</cp:coreProperties>
</file>